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/>
  <mc:AlternateContent xmlns:mc="http://schemas.openxmlformats.org/markup-compatibility/2006">
    <mc:Choice Requires="x15">
      <x15ac:absPath xmlns:x15ac="http://schemas.microsoft.com/office/spreadsheetml/2010/11/ac" url="C:\Users\Poornima\Documents\"/>
    </mc:Choice>
  </mc:AlternateContent>
  <xr:revisionPtr revIDLastSave="0" documentId="13_ncr:1_{AB48FF19-D0E8-48F8-BA1E-2C4806BE2ACD}" xr6:coauthVersionLast="43" xr6:coauthVersionMax="43" xr10:uidLastSave="{00000000-0000-0000-0000-000000000000}"/>
  <bookViews>
    <workbookView xWindow="-120" yWindow="-120" windowWidth="20730" windowHeight="11040" xr2:uid="{00000000-000D-0000-FFFF-FFFF00000000}"/>
  </bookViews>
  <sheets>
    <sheet name="Dataset" sheetId="1" r:id="rId1"/>
  </sheets>
  <calcPr calcId="181029"/>
  <extLs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2" i="1"/>
</calcChain>
</file>

<file path=xl/sharedStrings.xml><?xml version="1.0" encoding="utf-8"?>
<sst xmlns="http://schemas.openxmlformats.org/spreadsheetml/2006/main" count="171" uniqueCount="97">
  <si>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</si>
  <si>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</si>
  <si>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</si>
  <si>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</si>
  <si>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</si>
  <si>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</si>
  <si>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</si>
  <si>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</si>
  <si>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</si>
  <si>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</si>
  <si>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</si>
  <si>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</si>
  <si>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</si>
  <si>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</si>
  <si>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</si>
  <si>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</si>
  <si>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</si>
  <si>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</si>
  <si>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</si>
  <si>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</si>
  <si>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</si>
  <si>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</si>
  <si>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</si>
  <si>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</si>
  <si>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</si>
  <si>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</si>
  <si>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</si>
  <si>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</si>
  <si>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</si>
  <si>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</si>
  <si>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</si>
  <si>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</si>
  <si>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</si>
  <si>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</si>
  <si>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</si>
  <si>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</si>
  <si>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</si>
  <si>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</si>
  <si>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</si>
  <si>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</si>
  <si>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</si>
  <si>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</si>
  <si>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</si>
  <si>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</si>
  <si>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</si>
  <si>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</si>
  <si>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</si>
  <si>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</si>
  <si>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</si>
  <si>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</si>
  <si>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</si>
  <si>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</si>
  <si>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</si>
  <si>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</si>
  <si>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</si>
  <si>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</si>
  <si>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</si>
  <si>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</si>
  <si>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</si>
  <si>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</si>
  <si>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</si>
  <si>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</si>
  <si>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</si>
  <si>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</si>
  <si>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</si>
  <si>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</si>
  <si>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</si>
  <si>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</si>
  <si>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</si>
  <si>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</si>
  <si>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</si>
  <si>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</si>
  <si>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</si>
  <si>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</si>
  <si>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</si>
  <si>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</si>
  <si>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</si>
  <si>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</si>
  <si>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</si>
  <si>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</si>
  <si>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</si>
  <si>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</si>
  <si>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</si>
  <si>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</si>
  <si>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</si>
  <si>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</si>
  <si>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</si>
  <si>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</si>
  <si>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</si>
  <si>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</si>
  <si>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</si>
  <si>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</si>
  <si>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</si>
  <si>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Manufacturing date</t>
  </si>
  <si>
    <t>Country code</t>
  </si>
  <si>
    <t xml:space="preserve">Product and brand 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</si>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</sst>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65" formatCode="yyyy/mm/dd;@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164" fontId="1" fillId="2" borderId="0" xfId="0" applyNumberFormat="1" applyFont="1" applyFill="1" applyAlignment="1">
      <alignment horizontal="center"/>
    </xf>
    <xf numFmtId="164" fontId="2" fillId="0" borderId="0" xfId="0" applyNumberFormat="1" applyFont="1"/>
    <xf numFmtId="164" fontId="2" fillId="3" borderId="0" xfId="0" applyNumberFormat="1" applyFont="1" applyFill="1"/>
    <xf numFmtId="164" fontId="0" fillId="0" borderId="0" xfId="0" applyNumberFormat="1" applyFont="1" applyAlignment="1"/>
    <xf numFmtId="165" fontId="3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5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65" formatCode="yyyy/mm/dd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65" formatCode="yyyy/mm/dd;@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yyyy/mm/dd;@"/>
      <alignment horizontal="center" vertical="bottom" textRotation="0" wrapText="0" indent="0" justifyLastLine="0" shrinkToFit="0" readingOrder="0"/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FEB45A-2358-47EF-A3E2-E586C410F0DA}" name="Table1" displayName="Table1" ref="G1:G1048576" totalsRowShown="0" headerRowDxfId="2" dataDxfId="1">
  <tableColumns count="1">
    <tableColumn id="1" xr3:uid="{3C7ED441-ACA4-485E-AAD8-9B848939EAD0}" name="Manufacturing da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tabSelected="1" zoomScaleNormal="100" workbookViewId="0">
      <selection activeCell="G2" sqref="G2"/>
    </sheetView>
  </sheetViews>
  <sheetFormatPr defaultColWidth="12.5703125" defaultRowHeight="15" customHeight="1" x14ac:dyDescent="0.2"/>
  <cols>
    <col min="2" max="2" width="14.140625" customWidth="1"/>
    <col min="7" max="7" width="20.85546875" style="10" customWidth="1"/>
    <col min="8" max="8" width="12.7109375" style="11" bestFit="1" customWidth="1"/>
    <col min="9" max="9" width="21.7109375" bestFit="1" customWidth="1"/>
    <col min="10" max="10" width="12.5703125" style="7"/>
  </cols>
  <sheetData>
    <row r="1" spans="1:11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" t="s">
        <v>93</v>
      </c>
      <c r="H1" s="1" t="s">
        <v>94</v>
      </c>
      <c r="I1" s="1" t="s">
        <v>95</v>
      </c>
      <c r="J1" s="4" t="s">
        <v>96</v>
      </c>
      <c r="K1" s="1" t="s">
        <v>5</v>
      </c>
    </row>
    <row r="2" spans="1:11" ht="15.75" customHeight="1" x14ac:dyDescent="0.2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  <c r="G2" s="9" t="str">
        <f>LEFT(A2,6)</f>
        <v>28-JAN</v>
      </c>
      <c r="H2" s="11" t="str">
        <f>RIGHT(A2,2)</f>
        <v>US</v>
      </c>
      <c r="I2" t="str">
        <f>C2 &amp; " " &amp; B2</f>
        <v>Dell Laptop</v>
      </c>
      <c r="J2" s="5">
        <v>1000</v>
      </c>
      <c r="K2" s="2" t="s">
        <v>9</v>
      </c>
    </row>
    <row r="3" spans="1:11" ht="15.75" customHeight="1" x14ac:dyDescent="0.2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G3" s="9" t="str">
        <f t="shared" ref="G3:G33" si="0">LEFT(A3,6)</f>
        <v>15-FEB</v>
      </c>
      <c r="H3" s="11" t="str">
        <f t="shared" ref="H3:H33" si="1">RIGHT(A3,2)</f>
        <v>US</v>
      </c>
      <c r="I3" t="str">
        <f t="shared" ref="I3:I33" si="2">C3 &amp; " " &amp; B3</f>
        <v>Nike Sneakers</v>
      </c>
      <c r="J3" s="6">
        <v>80</v>
      </c>
      <c r="K3" s="3" t="s">
        <v>13</v>
      </c>
    </row>
    <row r="4" spans="1:11" ht="15.75" customHeight="1" x14ac:dyDescent="0.2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G4" s="9" t="str">
        <f t="shared" si="0"/>
        <v>03-MAR</v>
      </c>
      <c r="H4" s="11" t="str">
        <f t="shared" si="1"/>
        <v>US</v>
      </c>
      <c r="I4" t="str">
        <f t="shared" si="2"/>
        <v>Keurig Coffee Maker</v>
      </c>
      <c r="J4" s="5">
        <v>130</v>
      </c>
      <c r="K4" s="2" t="s">
        <v>17</v>
      </c>
    </row>
    <row r="5" spans="1:11" ht="15.75" customHeight="1" x14ac:dyDescent="0.2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G5" s="9" t="str">
        <f t="shared" si="0"/>
        <v>11-APR</v>
      </c>
      <c r="H5" s="11" t="str">
        <f t="shared" si="1"/>
        <v>US</v>
      </c>
      <c r="I5" t="str">
        <f t="shared" si="2"/>
        <v>Samsung Smartphone</v>
      </c>
      <c r="J5" s="6">
        <v>900</v>
      </c>
      <c r="K5" s="3" t="s">
        <v>9</v>
      </c>
    </row>
    <row r="6" spans="1:11" ht="15.75" customHeight="1" x14ac:dyDescent="0.2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 t="s">
        <v>24</v>
      </c>
      <c r="G6" s="9" t="str">
        <f t="shared" si="0"/>
        <v>22-MAY</v>
      </c>
      <c r="H6" s="11" t="str">
        <f t="shared" si="1"/>
        <v>US</v>
      </c>
      <c r="I6" t="str">
        <f t="shared" si="2"/>
        <v>North Face Backpack</v>
      </c>
      <c r="J6" s="5">
        <v>70</v>
      </c>
      <c r="K6" s="2" t="s">
        <v>24</v>
      </c>
    </row>
    <row r="7" spans="1:11" ht="15.75" customHeight="1" x14ac:dyDescent="0.2">
      <c r="A7" s="3" t="s">
        <v>25</v>
      </c>
      <c r="B7" s="3" t="s">
        <v>26</v>
      </c>
      <c r="C7" s="3" t="s">
        <v>27</v>
      </c>
      <c r="D7" s="3">
        <v>200</v>
      </c>
      <c r="E7" s="3">
        <v>45</v>
      </c>
      <c r="F7" s="3" t="s">
        <v>9</v>
      </c>
      <c r="G7" s="9" t="str">
        <f t="shared" si="0"/>
        <v>07-JUN</v>
      </c>
      <c r="H7" s="11" t="str">
        <f t="shared" si="1"/>
        <v>UK</v>
      </c>
      <c r="I7" t="str">
        <f t="shared" si="2"/>
        <v>Sony Headphones</v>
      </c>
      <c r="J7" s="6">
        <v>200</v>
      </c>
      <c r="K7" s="3" t="s">
        <v>9</v>
      </c>
    </row>
    <row r="8" spans="1:11" ht="15.75" customHeight="1" x14ac:dyDescent="0.2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  <c r="G8" s="9" t="str">
        <f t="shared" si="0"/>
        <v>19-JUL</v>
      </c>
      <c r="H8" s="11" t="str">
        <f t="shared" si="1"/>
        <v>UK</v>
      </c>
      <c r="I8" t="str">
        <f t="shared" si="2"/>
        <v>Adidas T-shirt</v>
      </c>
      <c r="J8" s="5">
        <v>30</v>
      </c>
      <c r="K8" s="2" t="s">
        <v>13</v>
      </c>
    </row>
    <row r="9" spans="1:11" ht="15.75" customHeight="1" x14ac:dyDescent="0.2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  <c r="G9" s="9" t="str">
        <f t="shared" si="0"/>
        <v>23-AUG</v>
      </c>
      <c r="H9" s="11" t="str">
        <f t="shared" si="1"/>
        <v>UK</v>
      </c>
      <c r="I9" t="str">
        <f t="shared" si="2"/>
        <v>Ninja Blender</v>
      </c>
      <c r="J9" s="6">
        <v>90</v>
      </c>
      <c r="K9" s="3" t="s">
        <v>17</v>
      </c>
    </row>
    <row r="10" spans="1:11" ht="15.75" customHeight="1" x14ac:dyDescent="0.2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  <c r="G10" s="9" t="str">
        <f t="shared" si="0"/>
        <v>05-SEP</v>
      </c>
      <c r="H10" s="11" t="str">
        <f t="shared" si="1"/>
        <v>UK</v>
      </c>
      <c r="I10" t="str">
        <f t="shared" si="2"/>
        <v>Apple Tablet</v>
      </c>
      <c r="J10" s="5">
        <v>500</v>
      </c>
      <c r="K10" s="2" t="s">
        <v>9</v>
      </c>
    </row>
    <row r="11" spans="1:11" ht="15.75" customHeight="1" x14ac:dyDescent="0.2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24</v>
      </c>
      <c r="G11" s="9" t="str">
        <f t="shared" si="0"/>
        <v>14-OCT</v>
      </c>
      <c r="H11" s="11" t="str">
        <f t="shared" si="1"/>
        <v>UK</v>
      </c>
      <c r="I11" t="str">
        <f t="shared" si="2"/>
        <v>Timberland Hiking Boots</v>
      </c>
      <c r="J11" s="6">
        <v>130</v>
      </c>
      <c r="K11" s="3" t="s">
        <v>24</v>
      </c>
    </row>
    <row r="12" spans="1:11" ht="15.75" customHeight="1" x14ac:dyDescent="0.2">
      <c r="A12" s="2" t="s">
        <v>40</v>
      </c>
      <c r="B12" s="2" t="s">
        <v>7</v>
      </c>
      <c r="C12" s="2" t="s">
        <v>41</v>
      </c>
      <c r="D12" s="2">
        <v>950</v>
      </c>
      <c r="E12" s="2">
        <v>25</v>
      </c>
      <c r="F12" s="2" t="s">
        <v>9</v>
      </c>
      <c r="G12" s="9" t="str">
        <f t="shared" si="0"/>
        <v>17-JUN</v>
      </c>
      <c r="H12" s="11" t="str">
        <f t="shared" si="1"/>
        <v>IN</v>
      </c>
      <c r="I12" t="str">
        <f t="shared" si="2"/>
        <v>HP Laptop</v>
      </c>
      <c r="J12" s="5">
        <v>950</v>
      </c>
      <c r="K12" s="2" t="s">
        <v>9</v>
      </c>
    </row>
    <row r="13" spans="1:11" ht="15.75" customHeight="1" x14ac:dyDescent="0.2">
      <c r="A13" s="3" t="s">
        <v>42</v>
      </c>
      <c r="B13" s="3" t="s">
        <v>11</v>
      </c>
      <c r="C13" s="3" t="s">
        <v>30</v>
      </c>
      <c r="D13" s="3">
        <v>90</v>
      </c>
      <c r="E13" s="3">
        <v>40</v>
      </c>
      <c r="F13" s="3" t="s">
        <v>13</v>
      </c>
      <c r="G13" s="9" t="str">
        <f t="shared" si="0"/>
        <v>25-NOV</v>
      </c>
      <c r="H13" s="11" t="str">
        <f t="shared" si="1"/>
        <v>AU</v>
      </c>
      <c r="I13" t="str">
        <f t="shared" si="2"/>
        <v>Adidas Sneakers</v>
      </c>
      <c r="J13" s="6">
        <v>90</v>
      </c>
      <c r="K13" s="3" t="s">
        <v>13</v>
      </c>
    </row>
    <row r="14" spans="1:11" ht="15.75" customHeight="1" x14ac:dyDescent="0.2">
      <c r="A14" s="2" t="s">
        <v>43</v>
      </c>
      <c r="B14" s="2" t="s">
        <v>15</v>
      </c>
      <c r="C14" s="2" t="s">
        <v>44</v>
      </c>
      <c r="D14" s="2">
        <v>120</v>
      </c>
      <c r="E14" s="2">
        <v>35</v>
      </c>
      <c r="F14" s="2" t="s">
        <v>17</v>
      </c>
      <c r="G14" s="9" t="str">
        <f t="shared" si="0"/>
        <v>08-DEC</v>
      </c>
      <c r="H14" s="11" t="str">
        <f t="shared" si="1"/>
        <v>DE</v>
      </c>
      <c r="I14" t="str">
        <f t="shared" si="2"/>
        <v>Nespresso Coffee Maker</v>
      </c>
      <c r="J14" s="5">
        <v>120</v>
      </c>
      <c r="K14" s="2" t="s">
        <v>17</v>
      </c>
    </row>
    <row r="15" spans="1:11" ht="15.75" customHeight="1" x14ac:dyDescent="0.2">
      <c r="A15" s="3" t="s">
        <v>45</v>
      </c>
      <c r="B15" s="3" t="s">
        <v>46</v>
      </c>
      <c r="C15" s="3" t="s">
        <v>47</v>
      </c>
      <c r="D15" s="3">
        <v>150</v>
      </c>
      <c r="E15" s="3">
        <v>15</v>
      </c>
      <c r="F15" s="3" t="s">
        <v>9</v>
      </c>
      <c r="G15" s="9" t="str">
        <f t="shared" si="0"/>
        <v>18-FEB</v>
      </c>
      <c r="H15" s="11" t="str">
        <f t="shared" si="1"/>
        <v>CA</v>
      </c>
      <c r="I15" t="str">
        <f t="shared" si="2"/>
        <v>Fitbit Smartwatch</v>
      </c>
      <c r="J15" s="6">
        <v>150</v>
      </c>
      <c r="K15" s="3" t="s">
        <v>9</v>
      </c>
    </row>
    <row r="16" spans="1:11" ht="15.75" customHeight="1" x14ac:dyDescent="0.2">
      <c r="A16" s="2" t="s">
        <v>48</v>
      </c>
      <c r="B16" s="2" t="s">
        <v>26</v>
      </c>
      <c r="C16" s="2" t="s">
        <v>49</v>
      </c>
      <c r="D16" s="2">
        <v>250</v>
      </c>
      <c r="E16" s="2">
        <v>20</v>
      </c>
      <c r="F16" s="2" t="s">
        <v>9</v>
      </c>
      <c r="G16" s="9" t="str">
        <f t="shared" si="0"/>
        <v>16-APR</v>
      </c>
      <c r="H16" s="11" t="str">
        <f t="shared" si="1"/>
        <v>ES</v>
      </c>
      <c r="I16" t="str">
        <f t="shared" si="2"/>
        <v>Bose Headphones</v>
      </c>
      <c r="J16" s="5">
        <v>250</v>
      </c>
      <c r="K16" s="2" t="s">
        <v>9</v>
      </c>
    </row>
    <row r="17" spans="1:11" ht="15.75" customHeight="1" x14ac:dyDescent="0.2">
      <c r="A17" s="3" t="s">
        <v>50</v>
      </c>
      <c r="B17" s="3" t="s">
        <v>51</v>
      </c>
      <c r="C17" s="3" t="s">
        <v>52</v>
      </c>
      <c r="D17" s="3">
        <v>50</v>
      </c>
      <c r="E17" s="3">
        <v>35</v>
      </c>
      <c r="F17" s="3" t="s">
        <v>53</v>
      </c>
      <c r="G17" s="9" t="str">
        <f t="shared" si="0"/>
        <v>21-AUG</v>
      </c>
      <c r="H17" s="11" t="str">
        <f t="shared" si="1"/>
        <v>CA</v>
      </c>
      <c r="I17" t="str">
        <f t="shared" si="2"/>
        <v>Samsonite Laptop Bag</v>
      </c>
      <c r="J17" s="6">
        <v>50</v>
      </c>
      <c r="K17" s="3" t="s">
        <v>53</v>
      </c>
    </row>
    <row r="18" spans="1:11" ht="15.75" customHeight="1" x14ac:dyDescent="0.2">
      <c r="A18" s="2" t="s">
        <v>54</v>
      </c>
      <c r="B18" s="2" t="s">
        <v>46</v>
      </c>
      <c r="C18" s="2" t="s">
        <v>55</v>
      </c>
      <c r="D18" s="2">
        <v>160</v>
      </c>
      <c r="E18" s="2">
        <v>15</v>
      </c>
      <c r="F18" s="2" t="s">
        <v>9</v>
      </c>
      <c r="G18" s="9" t="str">
        <f t="shared" si="0"/>
        <v>20-AUG</v>
      </c>
      <c r="H18" s="11" t="str">
        <f t="shared" si="1"/>
        <v>CN</v>
      </c>
      <c r="I18" t="str">
        <f t="shared" si="2"/>
        <v>Huawei Smartwatch</v>
      </c>
      <c r="J18" s="5">
        <v>160</v>
      </c>
      <c r="K18" s="2" t="s">
        <v>9</v>
      </c>
    </row>
    <row r="19" spans="1:11" ht="15.75" customHeight="1" x14ac:dyDescent="0.2">
      <c r="A19" s="3" t="s">
        <v>56</v>
      </c>
      <c r="B19" s="3" t="s">
        <v>7</v>
      </c>
      <c r="C19" s="3" t="s">
        <v>57</v>
      </c>
      <c r="D19" s="3">
        <v>980</v>
      </c>
      <c r="E19" s="3">
        <v>10</v>
      </c>
      <c r="F19" s="3" t="s">
        <v>9</v>
      </c>
      <c r="G19" s="9" t="str">
        <f t="shared" si="0"/>
        <v>27-JAN</v>
      </c>
      <c r="H19" s="11" t="str">
        <f t="shared" si="1"/>
        <v>IT</v>
      </c>
      <c r="I19" t="str">
        <f t="shared" si="2"/>
        <v>Asus Laptop</v>
      </c>
      <c r="J19" s="6">
        <v>980</v>
      </c>
      <c r="K19" s="3" t="s">
        <v>9</v>
      </c>
    </row>
    <row r="20" spans="1:11" ht="15.75" customHeight="1" x14ac:dyDescent="0.2">
      <c r="A20" s="2" t="s">
        <v>58</v>
      </c>
      <c r="B20" s="2" t="s">
        <v>59</v>
      </c>
      <c r="C20" s="2" t="s">
        <v>60</v>
      </c>
      <c r="D20" s="2">
        <v>150</v>
      </c>
      <c r="E20" s="2">
        <v>15</v>
      </c>
      <c r="F20" s="2" t="s">
        <v>13</v>
      </c>
      <c r="G20" s="9" t="str">
        <f t="shared" si="0"/>
        <v>01-MAR</v>
      </c>
      <c r="H20" s="11" t="str">
        <f t="shared" si="1"/>
        <v>UK</v>
      </c>
      <c r="I20" t="str">
        <f t="shared" si="2"/>
        <v>Oakley Sunglasses</v>
      </c>
      <c r="J20" s="5">
        <v>150</v>
      </c>
      <c r="K20" s="2" t="s">
        <v>13</v>
      </c>
    </row>
    <row r="21" spans="1:11" ht="15.75" customHeight="1" x14ac:dyDescent="0.2">
      <c r="A21" s="3" t="s">
        <v>61</v>
      </c>
      <c r="B21" s="3" t="s">
        <v>62</v>
      </c>
      <c r="C21" s="3" t="s">
        <v>63</v>
      </c>
      <c r="D21" s="3">
        <v>200</v>
      </c>
      <c r="E21" s="3">
        <v>10</v>
      </c>
      <c r="F21" s="3" t="s">
        <v>24</v>
      </c>
      <c r="G21" s="9" t="str">
        <f t="shared" si="0"/>
        <v>14-AUG</v>
      </c>
      <c r="H21" s="11" t="str">
        <f t="shared" si="1"/>
        <v>US</v>
      </c>
      <c r="I21" t="str">
        <f t="shared" si="2"/>
        <v>Coleman Camping Tent</v>
      </c>
      <c r="J21" s="6">
        <v>200</v>
      </c>
      <c r="K21" s="3" t="s">
        <v>24</v>
      </c>
    </row>
    <row r="22" spans="1:11" ht="15.75" customHeight="1" x14ac:dyDescent="0.2">
      <c r="A22" s="2" t="s">
        <v>64</v>
      </c>
      <c r="B22" s="2" t="s">
        <v>65</v>
      </c>
      <c r="C22" s="2" t="s">
        <v>66</v>
      </c>
      <c r="D22" s="2">
        <v>700</v>
      </c>
      <c r="E22" s="2">
        <v>50</v>
      </c>
      <c r="F22" s="2" t="s">
        <v>9</v>
      </c>
      <c r="G22" s="9" t="str">
        <f t="shared" si="0"/>
        <v>14-MAY</v>
      </c>
      <c r="H22" s="11" t="str">
        <f t="shared" si="1"/>
        <v>RU</v>
      </c>
      <c r="I22" t="str">
        <f t="shared" si="2"/>
        <v>Nikon Camera</v>
      </c>
      <c r="J22" s="5">
        <v>700</v>
      </c>
      <c r="K22" s="2" t="s">
        <v>9</v>
      </c>
    </row>
    <row r="23" spans="1:11" ht="15.75" customHeight="1" x14ac:dyDescent="0.2">
      <c r="A23" s="3" t="s">
        <v>67</v>
      </c>
      <c r="B23" s="3" t="s">
        <v>68</v>
      </c>
      <c r="C23" s="3" t="s">
        <v>69</v>
      </c>
      <c r="D23" s="3">
        <v>80</v>
      </c>
      <c r="E23" s="3">
        <v>20</v>
      </c>
      <c r="F23" s="3" t="s">
        <v>17</v>
      </c>
      <c r="G23" s="9" t="str">
        <f t="shared" si="0"/>
        <v>09-JAN</v>
      </c>
      <c r="H23" s="11" t="str">
        <f t="shared" si="1"/>
        <v>CA</v>
      </c>
      <c r="I23" t="str">
        <f t="shared" si="2"/>
        <v>Panasonic Microwave</v>
      </c>
      <c r="J23" s="6">
        <v>80</v>
      </c>
      <c r="K23" s="3" t="s">
        <v>17</v>
      </c>
    </row>
    <row r="24" spans="1:11" ht="15.75" customHeight="1" x14ac:dyDescent="0.2">
      <c r="A24" s="2" t="s">
        <v>70</v>
      </c>
      <c r="B24" s="2" t="s">
        <v>71</v>
      </c>
      <c r="C24" s="2" t="s">
        <v>72</v>
      </c>
      <c r="D24" s="2">
        <v>150</v>
      </c>
      <c r="E24" s="2">
        <v>30</v>
      </c>
      <c r="F24" s="2" t="s">
        <v>9</v>
      </c>
      <c r="G24" s="9" t="str">
        <f t="shared" si="0"/>
        <v>19-JUL</v>
      </c>
      <c r="H24" s="11" t="str">
        <f t="shared" si="1"/>
        <v>BR</v>
      </c>
      <c r="I24" t="str">
        <f t="shared" si="2"/>
        <v>Xiaomi Fitness Tracker</v>
      </c>
      <c r="J24" s="5">
        <v>150</v>
      </c>
      <c r="K24" s="2" t="s">
        <v>9</v>
      </c>
    </row>
    <row r="25" spans="1:11" ht="15.75" customHeight="1" x14ac:dyDescent="0.2">
      <c r="A25" s="2" t="s">
        <v>73</v>
      </c>
      <c r="B25" s="2" t="s">
        <v>19</v>
      </c>
      <c r="C25" s="2" t="s">
        <v>74</v>
      </c>
      <c r="D25" s="2">
        <v>800</v>
      </c>
      <c r="E25" s="2">
        <v>45</v>
      </c>
      <c r="F25" s="2" t="s">
        <v>9</v>
      </c>
      <c r="G25" s="9" t="str">
        <f t="shared" si="0"/>
        <v>29-SEP</v>
      </c>
      <c r="H25" s="11" t="str">
        <f t="shared" si="1"/>
        <v>CA</v>
      </c>
      <c r="I25" t="str">
        <f t="shared" si="2"/>
        <v>Google Smartphone</v>
      </c>
      <c r="J25" s="5">
        <v>800</v>
      </c>
      <c r="K25" s="2" t="s">
        <v>9</v>
      </c>
    </row>
    <row r="26" spans="1:11" ht="15.75" customHeight="1" x14ac:dyDescent="0.2">
      <c r="A26" s="3" t="s">
        <v>75</v>
      </c>
      <c r="B26" s="3" t="s">
        <v>59</v>
      </c>
      <c r="C26" s="3" t="s">
        <v>76</v>
      </c>
      <c r="D26" s="3">
        <v>130</v>
      </c>
      <c r="E26" s="3">
        <v>25</v>
      </c>
      <c r="F26" s="3" t="s">
        <v>13</v>
      </c>
      <c r="G26" s="9" t="str">
        <f t="shared" si="0"/>
        <v>03-JUN</v>
      </c>
      <c r="H26" s="11" t="str">
        <f t="shared" si="1"/>
        <v>CA</v>
      </c>
      <c r="I26" t="str">
        <f t="shared" si="2"/>
        <v>Ray-Ban Sunglasses</v>
      </c>
      <c r="J26" s="6">
        <v>130</v>
      </c>
      <c r="K26" s="3" t="s">
        <v>13</v>
      </c>
    </row>
    <row r="27" spans="1:11" ht="15.75" customHeight="1" x14ac:dyDescent="0.2">
      <c r="A27" s="2" t="s">
        <v>77</v>
      </c>
      <c r="B27" s="2" t="s">
        <v>32</v>
      </c>
      <c r="C27" s="2" t="s">
        <v>78</v>
      </c>
      <c r="D27" s="2">
        <v>400</v>
      </c>
      <c r="E27" s="2">
        <v>40</v>
      </c>
      <c r="F27" s="2" t="s">
        <v>17</v>
      </c>
      <c r="G27" s="9" t="str">
        <f t="shared" si="0"/>
        <v>11-JUL</v>
      </c>
      <c r="H27" s="11" t="str">
        <f t="shared" si="1"/>
        <v>CA</v>
      </c>
      <c r="I27" t="str">
        <f t="shared" si="2"/>
        <v>Vitamix Blender</v>
      </c>
      <c r="J27" s="5">
        <v>400</v>
      </c>
      <c r="K27" s="2" t="s">
        <v>17</v>
      </c>
    </row>
    <row r="28" spans="1:11" ht="15.75" customHeight="1" x14ac:dyDescent="0.2">
      <c r="A28" s="3" t="s">
        <v>48</v>
      </c>
      <c r="B28" s="3" t="s">
        <v>26</v>
      </c>
      <c r="C28" s="3" t="s">
        <v>49</v>
      </c>
      <c r="D28" s="3">
        <v>230</v>
      </c>
      <c r="E28" s="3">
        <v>20</v>
      </c>
      <c r="F28" s="3" t="s">
        <v>9</v>
      </c>
      <c r="G28" s="9" t="str">
        <f t="shared" si="0"/>
        <v>16-APR</v>
      </c>
      <c r="H28" s="11" t="str">
        <f t="shared" si="1"/>
        <v>ES</v>
      </c>
      <c r="I28" t="str">
        <f t="shared" si="2"/>
        <v>Bose Headphones</v>
      </c>
      <c r="J28" s="6">
        <v>230</v>
      </c>
      <c r="K28" s="3" t="s">
        <v>9</v>
      </c>
    </row>
    <row r="29" spans="1:11" ht="15.75" customHeight="1" x14ac:dyDescent="0.2">
      <c r="A29" s="2" t="s">
        <v>79</v>
      </c>
      <c r="B29" s="2" t="s">
        <v>80</v>
      </c>
      <c r="C29" s="2" t="s">
        <v>81</v>
      </c>
      <c r="D29" s="2">
        <v>60</v>
      </c>
      <c r="E29" s="2">
        <v>30</v>
      </c>
      <c r="F29" s="2" t="s">
        <v>13</v>
      </c>
      <c r="G29" s="9" t="str">
        <f t="shared" si="0"/>
        <v>07-MAR</v>
      </c>
      <c r="H29" s="11" t="str">
        <f t="shared" si="1"/>
        <v>CA</v>
      </c>
      <c r="I29" t="str">
        <f t="shared" si="2"/>
        <v>Zara Dress</v>
      </c>
      <c r="J29" s="5">
        <v>60</v>
      </c>
      <c r="K29" s="2" t="s">
        <v>13</v>
      </c>
    </row>
    <row r="30" spans="1:11" ht="15.75" customHeight="1" x14ac:dyDescent="0.2">
      <c r="A30" s="3" t="s">
        <v>82</v>
      </c>
      <c r="B30" s="3" t="s">
        <v>83</v>
      </c>
      <c r="C30" s="3" t="s">
        <v>84</v>
      </c>
      <c r="D30" s="3">
        <v>40</v>
      </c>
      <c r="E30" s="3">
        <v>10</v>
      </c>
      <c r="F30" s="3" t="s">
        <v>17</v>
      </c>
      <c r="G30" s="9" t="str">
        <f t="shared" si="0"/>
        <v>13-APR</v>
      </c>
      <c r="H30" s="11" t="str">
        <f t="shared" si="1"/>
        <v>CA</v>
      </c>
      <c r="I30" t="str">
        <f t="shared" si="2"/>
        <v>Hamilton Toaster</v>
      </c>
      <c r="J30" s="6">
        <v>40</v>
      </c>
      <c r="K30" s="3" t="s">
        <v>17</v>
      </c>
    </row>
    <row r="31" spans="1:11" ht="15.75" customHeight="1" x14ac:dyDescent="0.2">
      <c r="A31" s="2" t="s">
        <v>85</v>
      </c>
      <c r="B31" s="2" t="s">
        <v>71</v>
      </c>
      <c r="C31" s="2" t="s">
        <v>86</v>
      </c>
      <c r="D31" s="2">
        <v>130</v>
      </c>
      <c r="E31" s="2">
        <v>5</v>
      </c>
      <c r="F31" s="2" t="s">
        <v>9</v>
      </c>
      <c r="G31" s="9" t="str">
        <f t="shared" si="0"/>
        <v>24-MAY</v>
      </c>
      <c r="H31" s="11" t="str">
        <f t="shared" si="1"/>
        <v>CA</v>
      </c>
      <c r="I31" t="str">
        <f t="shared" si="2"/>
        <v>Garmin Fitness Tracker</v>
      </c>
      <c r="J31" s="5">
        <v>130</v>
      </c>
      <c r="K31" s="2" t="s">
        <v>9</v>
      </c>
    </row>
    <row r="32" spans="1:11" ht="15.75" customHeight="1" x14ac:dyDescent="0.2">
      <c r="A32" s="3" t="s">
        <v>87</v>
      </c>
      <c r="B32" s="3" t="s">
        <v>88</v>
      </c>
      <c r="C32" s="3" t="s">
        <v>89</v>
      </c>
      <c r="D32" s="3">
        <v>50</v>
      </c>
      <c r="E32" s="3">
        <v>50</v>
      </c>
      <c r="F32" s="3" t="s">
        <v>13</v>
      </c>
      <c r="G32" s="9" t="str">
        <f t="shared" si="0"/>
        <v>02-DEC</v>
      </c>
      <c r="H32" s="11" t="str">
        <f t="shared" si="1"/>
        <v>CA</v>
      </c>
      <c r="I32" t="str">
        <f t="shared" si="2"/>
        <v>Levi's Jeans</v>
      </c>
      <c r="J32" s="6">
        <v>50</v>
      </c>
      <c r="K32" s="3" t="s">
        <v>13</v>
      </c>
    </row>
    <row r="33" spans="1:11" ht="15.75" customHeight="1" x14ac:dyDescent="0.2">
      <c r="A33" s="3" t="s">
        <v>90</v>
      </c>
      <c r="B33" s="3" t="s">
        <v>91</v>
      </c>
      <c r="C33" s="3" t="s">
        <v>92</v>
      </c>
      <c r="D33" s="3">
        <v>100</v>
      </c>
      <c r="E33" s="3">
        <v>20</v>
      </c>
      <c r="F33" s="3" t="s">
        <v>53</v>
      </c>
      <c r="G33" s="9" t="str">
        <f t="shared" si="0"/>
        <v>09-JUL</v>
      </c>
      <c r="H33" s="11" t="str">
        <f t="shared" si="1"/>
        <v>FR</v>
      </c>
      <c r="I33" t="str">
        <f t="shared" si="2"/>
        <v>Casio Watch</v>
      </c>
      <c r="J33" s="6">
        <v>100</v>
      </c>
      <c r="K33" s="3" t="s">
        <v>53</v>
      </c>
    </row>
    <row r="34" spans="1:11" ht="15.75" customHeight="1" x14ac:dyDescent="0.2">
      <c r="G34" s="9"/>
    </row>
    <row r="35" spans="1:11" ht="15.75" customHeight="1" x14ac:dyDescent="0.2">
      <c r="G35" s="9"/>
    </row>
    <row r="36" spans="1:11" ht="15.75" customHeight="1" x14ac:dyDescent="0.2"/>
    <row r="37" spans="1:11" ht="15.75" customHeight="1" x14ac:dyDescent="0.2"/>
    <row r="38" spans="1:11" ht="15.75" customHeight="1" x14ac:dyDescent="0.2"/>
    <row r="39" spans="1:11" ht="15.75" customHeight="1" x14ac:dyDescent="0.2"/>
    <row r="40" spans="1:11" ht="15.75" customHeight="1" x14ac:dyDescent="0.2"/>
    <row r="41" spans="1:11" ht="15.75" customHeight="1" x14ac:dyDescent="0.2"/>
    <row r="42" spans="1:11" ht="15.75" customHeight="1" x14ac:dyDescent="0.2"/>
    <row r="43" spans="1:11" ht="15.75" customHeight="1" x14ac:dyDescent="0.2"/>
    <row r="44" spans="1:11" ht="15.75" customHeight="1" x14ac:dyDescent="0.2"/>
    <row r="45" spans="1:11" ht="15.75" customHeight="1" x14ac:dyDescent="0.2"/>
    <row r="46" spans="1:11" ht="15.75" customHeight="1" x14ac:dyDescent="0.2"/>
    <row r="47" spans="1:11" ht="15.75" customHeight="1" x14ac:dyDescent="0.2"/>
    <row r="48" spans="1:11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J1:J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{B2108491-EF5E-4FD3-9FDA-77F7AB21D510}</x14:id>
        </ext>
      </extLst>
    </cfRule>
  </conditionalFormatting>
  <conditionalFormatting sqref="K1:K1048576">
    <cfRule type="containsText" dxfId="3" priority="1" operator="containsText" text="Electronics">
      <formula>NOT(ISERROR(SEARCH("Electronics",K1)))</formula>
    </cfRule>
    <cfRule type="containsText" priority="2" operator="containsText" text="Electronics">
      <formula>NOT(ISERROR(SEARCH("Electronics",K1)))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2108491-EF5E-4FD3-9FDA-77F7AB21D5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J1:J1048576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Poornima</dc:creator>
  <cp:lastModifiedBy>Poornima</cp:lastModifiedBy>
  <dcterms:created xsi:type="dcterms:W3CDTF">2026-05-07T05:38:10Z</dcterms:created>
  <dcterms:modified xsi:type="dcterms:W3CDTF">2026-05-07T05:45:29Z</dcterms:modified>
</cp:coreProperties>
</file>